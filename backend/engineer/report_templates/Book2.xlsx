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p-mac/Desktop/Plant Equipment/K-monitoring-dev/backend/engineer/report_templates/"/>
    </mc:Choice>
  </mc:AlternateContent>
  <xr:revisionPtr revIDLastSave="0" documentId="8_{57472D21-35F6-004A-ACC7-71D4420340A4}" xr6:coauthVersionLast="47" xr6:coauthVersionMax="47" xr10:uidLastSave="{00000000-0000-0000-0000-000000000000}"/>
  <bookViews>
    <workbookView xWindow="3820" yWindow="2640" windowWidth="34580" windowHeight="17440" xr2:uid="{9AB6036F-ADB9-2745-9220-F07F0CACE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Q5" i="1"/>
  <c r="C12" i="1"/>
  <c r="Q10" i="1" l="1"/>
  <c r="C13" i="1"/>
  <c r="C14" i="1" s="1"/>
  <c r="D12" i="1" s="1"/>
  <c r="D13" i="1" s="1"/>
  <c r="D14" i="1" s="1"/>
  <c r="E12" i="1" s="1"/>
  <c r="E13" i="1" s="1"/>
  <c r="E14" i="1" s="1"/>
  <c r="F12" i="1" s="1"/>
  <c r="F13" i="1" s="1"/>
  <c r="F14" i="1" s="1"/>
  <c r="G12" i="1" s="1"/>
  <c r="G13" i="1" s="1"/>
  <c r="G14" i="1" s="1"/>
  <c r="H12" i="1" l="1"/>
  <c r="H13" i="1" s="1"/>
  <c r="H14" i="1" s="1"/>
  <c r="I12" i="1" l="1"/>
  <c r="I13" i="1" s="1"/>
  <c r="I14" i="1" s="1"/>
  <c r="J12" i="1" l="1"/>
  <c r="J13" i="1" l="1"/>
  <c r="J14" i="1" s="1"/>
  <c r="K12" i="1"/>
  <c r="K13" i="1" s="1"/>
  <c r="K14" i="1" s="1"/>
  <c r="L12" i="1" l="1"/>
  <c r="L13" i="1" s="1"/>
  <c r="L14" i="1" s="1"/>
  <c r="M12" i="1" l="1"/>
  <c r="M13" i="1" s="1"/>
  <c r="M14" i="1" s="1"/>
  <c r="N12" i="1" l="1"/>
  <c r="N13" i="1" l="1"/>
  <c r="N14" i="1" s="1"/>
  <c r="C18" i="1" s="1"/>
  <c r="C19" i="1" l="1"/>
  <c r="C20" i="1" s="1"/>
  <c r="D18" i="1" s="1"/>
  <c r="D19" i="1" l="1"/>
  <c r="D20" i="1" s="1"/>
  <c r="E18" i="1" l="1"/>
  <c r="E19" i="1" s="1"/>
  <c r="E20" i="1" s="1"/>
  <c r="F18" i="1" s="1"/>
  <c r="F19" i="1" s="1"/>
  <c r="F20" i="1" s="1"/>
  <c r="G18" i="1" s="1"/>
  <c r="G19" i="1" s="1"/>
  <c r="G20" i="1" s="1"/>
  <c r="H18" i="1" l="1"/>
  <c r="H19" i="1" l="1"/>
  <c r="H20" i="1" s="1"/>
  <c r="I18" i="1" s="1"/>
  <c r="I19" i="1" s="1"/>
  <c r="I20" i="1" s="1"/>
  <c r="J18" i="1" s="1"/>
  <c r="J19" i="1" s="1"/>
  <c r="J20" i="1" s="1"/>
  <c r="K18" i="1" s="1"/>
  <c r="K19" i="1" s="1"/>
  <c r="K20" i="1" s="1"/>
  <c r="L18" i="1" s="1"/>
  <c r="L19" i="1" s="1"/>
  <c r="L20" i="1" s="1"/>
  <c r="M18" i="1" l="1"/>
  <c r="M19" i="1" s="1"/>
  <c r="M20" i="1" s="1"/>
  <c r="N18" i="1" l="1"/>
  <c r="N19" i="1" s="1"/>
  <c r="N20" i="1" s="1"/>
  <c r="C24" i="1" s="1"/>
  <c r="C25" i="1" l="1"/>
  <c r="C26" i="1" s="1"/>
  <c r="D24" i="1" s="1"/>
  <c r="D25" i="1" l="1"/>
  <c r="D26" i="1" s="1"/>
  <c r="E24" i="1" l="1"/>
  <c r="E25" i="1" s="1"/>
  <c r="E26" i="1"/>
  <c r="F24" i="1" s="1"/>
  <c r="F25" i="1" s="1"/>
  <c r="F26" i="1" s="1"/>
  <c r="G24" i="1" s="1"/>
  <c r="G25" i="1" s="1"/>
  <c r="G26" i="1" s="1"/>
  <c r="H24" i="1" l="1"/>
  <c r="H25" i="1" s="1"/>
  <c r="H26" i="1" s="1"/>
  <c r="I24" i="1" s="1"/>
  <c r="I25" i="1" s="1"/>
  <c r="I26" i="1" s="1"/>
  <c r="J24" i="1" s="1"/>
  <c r="J25" i="1" s="1"/>
  <c r="J26" i="1" s="1"/>
  <c r="K24" i="1" s="1"/>
  <c r="K25" i="1" s="1"/>
  <c r="K26" i="1" s="1"/>
  <c r="L24" i="1" s="1"/>
  <c r="L25" i="1" s="1"/>
  <c r="L26" i="1" s="1"/>
  <c r="M24" i="1" l="1"/>
  <c r="M25" i="1" s="1"/>
  <c r="M26" i="1"/>
  <c r="N24" i="1" l="1"/>
  <c r="N25" i="1" s="1"/>
  <c r="N26" i="1" s="1"/>
  <c r="E7" i="1"/>
  <c r="E6" i="1" l="1"/>
  <c r="B29" i="1"/>
  <c r="C35" i="1" s="1"/>
  <c r="C36" i="1" s="1"/>
  <c r="C37" i="1" s="1"/>
  <c r="D35" i="1" l="1"/>
  <c r="D36" i="1" s="1"/>
  <c r="D37" i="1" s="1"/>
  <c r="E35" i="1" s="1"/>
  <c r="E36" i="1" s="1"/>
  <c r="E37" i="1" s="1"/>
  <c r="F35" i="1" s="1"/>
  <c r="F36" i="1" s="1"/>
  <c r="F37" i="1" s="1"/>
  <c r="G35" i="1" s="1"/>
  <c r="G36" i="1" s="1"/>
  <c r="G37" i="1" s="1"/>
  <c r="H35" i="1" l="1"/>
  <c r="H36" i="1" s="1"/>
  <c r="H37" i="1" s="1"/>
  <c r="I35" i="1" s="1"/>
  <c r="I36" i="1" s="1"/>
  <c r="I37" i="1" s="1"/>
  <c r="J35" i="1" s="1"/>
  <c r="J36" i="1" s="1"/>
  <c r="J37" i="1" s="1"/>
  <c r="K35" i="1" s="1"/>
  <c r="K36" i="1" s="1"/>
  <c r="K37" i="1" s="1"/>
  <c r="L35" i="1" s="1"/>
  <c r="L36" i="1" s="1"/>
  <c r="L37" i="1" s="1"/>
  <c r="M35" i="1" s="1"/>
  <c r="M36" i="1" s="1"/>
  <c r="M37" i="1" s="1"/>
  <c r="N35" i="1" s="1"/>
  <c r="N36" i="1" s="1"/>
  <c r="N37" i="1" s="1"/>
  <c r="C41" i="1" s="1"/>
  <c r="C42" i="1" s="1"/>
  <c r="C43" i="1" s="1"/>
  <c r="D41" i="1" l="1"/>
  <c r="D42" i="1" s="1"/>
  <c r="D43" i="1" s="1"/>
  <c r="E41" i="1" s="1"/>
  <c r="E42" i="1" s="1"/>
  <c r="E43" i="1" s="1"/>
  <c r="F41" i="1" s="1"/>
  <c r="F42" i="1" s="1"/>
  <c r="F43" i="1" s="1"/>
  <c r="G41" i="1" s="1"/>
  <c r="G42" i="1" s="1"/>
  <c r="G43" i="1" s="1"/>
  <c r="H41" i="1" l="1"/>
  <c r="H42" i="1" s="1"/>
  <c r="H43" i="1" s="1"/>
  <c r="I41" i="1" s="1"/>
  <c r="I42" i="1" s="1"/>
  <c r="I43" i="1" s="1"/>
  <c r="J41" i="1" s="1"/>
  <c r="J42" i="1" s="1"/>
  <c r="J43" i="1" s="1"/>
  <c r="K41" i="1" s="1"/>
  <c r="K42" i="1" s="1"/>
  <c r="K43" i="1" s="1"/>
  <c r="L41" i="1" s="1"/>
  <c r="L42" i="1" s="1"/>
  <c r="L43" i="1" s="1"/>
  <c r="M41" i="1" s="1"/>
  <c r="M42" i="1" s="1"/>
  <c r="M43" i="1" s="1"/>
  <c r="N41" i="1" l="1"/>
  <c r="N42" i="1" s="1"/>
  <c r="N43" i="1"/>
  <c r="C47" i="1" s="1"/>
  <c r="C48" i="1" s="1"/>
  <c r="C49" i="1" s="1"/>
  <c r="D47" i="1" l="1"/>
  <c r="D48" i="1" s="1"/>
  <c r="D49" i="1" s="1"/>
  <c r="E47" i="1" s="1"/>
  <c r="E48" i="1" s="1"/>
  <c r="E49" i="1" s="1"/>
  <c r="F47" i="1" l="1"/>
  <c r="F48" i="1" s="1"/>
  <c r="F49" i="1" s="1"/>
  <c r="G47" i="1" s="1"/>
  <c r="G48" i="1" s="1"/>
  <c r="G49" i="1" s="1"/>
  <c r="H47" i="1" s="1"/>
  <c r="H48" i="1" s="1"/>
  <c r="H49" i="1" s="1"/>
  <c r="I47" i="1" s="1"/>
  <c r="I48" i="1" s="1"/>
  <c r="I49" i="1" s="1"/>
  <c r="J47" i="1" s="1"/>
  <c r="J48" i="1" s="1"/>
  <c r="J49" i="1" s="1"/>
  <c r="K47" i="1" s="1"/>
  <c r="K48" i="1" s="1"/>
  <c r="K49" i="1" s="1"/>
  <c r="L47" i="1" s="1"/>
  <c r="L48" i="1" s="1"/>
  <c r="L49" i="1" s="1"/>
  <c r="M47" i="1" l="1"/>
  <c r="M48" i="1" l="1"/>
  <c r="M49" i="1" s="1"/>
  <c r="N47" i="1" l="1"/>
  <c r="N48" i="1" l="1"/>
  <c r="N49" i="1" s="1"/>
  <c r="E29" i="1" s="1"/>
  <c r="E30" i="1"/>
</calcChain>
</file>

<file path=xl/sharedStrings.xml><?xml version="1.0" encoding="utf-8"?>
<sst xmlns="http://schemas.openxmlformats.org/spreadsheetml/2006/main" count="58" uniqueCount="30">
  <si>
    <t>ต้น</t>
  </si>
  <si>
    <t>ดอก</t>
  </si>
  <si>
    <t>ผ่อน</t>
  </si>
  <si>
    <t>เข้าดอก</t>
  </si>
  <si>
    <t>เข้าต้น</t>
  </si>
  <si>
    <t>ต้นคงเหลือ</t>
  </si>
  <si>
    <t>year 1</t>
  </si>
  <si>
    <t>year 2</t>
  </si>
  <si>
    <t>year 3</t>
  </si>
  <si>
    <t>ลดต้น3ปี</t>
  </si>
  <si>
    <t>ดอกที่จ่าย</t>
  </si>
  <si>
    <t>โปะ</t>
  </si>
  <si>
    <t>*โปะ</t>
  </si>
  <si>
    <t>เงินเดือน</t>
  </si>
  <si>
    <t>ค่าเรียน</t>
  </si>
  <si>
    <t>บัตร</t>
  </si>
  <si>
    <t>ไฟ</t>
  </si>
  <si>
    <t>น้ำ</t>
  </si>
  <si>
    <t>ส่วนกลาง</t>
  </si>
  <si>
    <t>ทำฟัน</t>
  </si>
  <si>
    <t>บ้าน</t>
  </si>
  <si>
    <t>รายจ่ายรวม</t>
  </si>
  <si>
    <t>ที่บ้านให้</t>
  </si>
  <si>
    <t>รับรวม</t>
  </si>
  <si>
    <t>ประกันสงคม</t>
  </si>
  <si>
    <t>เหลือใช้</t>
  </si>
  <si>
    <t>เอาจากน้อง</t>
  </si>
  <si>
    <t>เน็ต</t>
  </si>
  <si>
    <t>น้ำมัน</t>
  </si>
  <si>
    <t>ทางด่วน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</si>
</sst>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3" xfId="0" applyFill="1" applyBorder="1"/>
    <xf numFmtId="0" fontId="0" fillId="0" borderId="2" xfId="0" applyBorder="1"/>
    <xf numFmtId="17" fontId="0" fillId="4" borderId="1" xfId="0" applyNumberFormat="1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CC80-0AF4-B148-9506-CF1FE0D81CA6}">
  <dimension ref="A5:W50"/>
  <sheetViews>
    <sheetView tabSelected="1" topLeftCell="A2" zoomScale="105" workbookViewId="0">
      <selection activeCell="T9" sqref="T9"/>
    </sheetView>
  </sheetViews>
  <sheetFormatPr baseColWidth="10" defaultRowHeight="16" x14ac:dyDescent="0.2"/>
  <sheetData>
    <row r="5" spans="1:20" x14ac:dyDescent="0.2">
      <c r="P5" s="2" t="s">
        <v>23</v>
      </c>
      <c r="Q5" s="2">
        <f>SUM(Q6:Q8)</f>
        <v>40000</v>
      </c>
      <c r="S5" s="2" t="s">
        <v>21</v>
      </c>
      <c r="T5" s="2">
        <f>SUM(T6:T28)</f>
        <v>39400</v>
      </c>
    </row>
    <row r="6" spans="1:20" x14ac:dyDescent="0.2">
      <c r="A6" s="1" t="s">
        <v>0</v>
      </c>
      <c r="B6" s="1">
        <v>2421029.2200000002</v>
      </c>
      <c r="D6" s="1" t="s">
        <v>9</v>
      </c>
      <c r="E6" s="2">
        <f>B6-N26</f>
        <v>323025.35365280602</v>
      </c>
      <c r="P6" s="1" t="s">
        <v>13</v>
      </c>
      <c r="Q6" s="1">
        <v>25000</v>
      </c>
      <c r="S6" s="1" t="s">
        <v>14</v>
      </c>
      <c r="T6" s="1">
        <v>3600</v>
      </c>
    </row>
    <row r="7" spans="1:20" x14ac:dyDescent="0.2">
      <c r="A7" s="1" t="s">
        <v>1</v>
      </c>
      <c r="B7" s="1">
        <v>2.98</v>
      </c>
      <c r="D7" s="1" t="s">
        <v>10</v>
      </c>
      <c r="E7" s="1">
        <f>SUM(C12:N12,C18:N18,C24:N24)</f>
        <v>201974.64634719372</v>
      </c>
      <c r="P7" s="1" t="s">
        <v>22</v>
      </c>
      <c r="Q7" s="1">
        <v>15000</v>
      </c>
      <c r="S7" s="1" t="s">
        <v>15</v>
      </c>
      <c r="T7" s="1">
        <v>10000</v>
      </c>
    </row>
    <row r="8" spans="1:20" x14ac:dyDescent="0.2">
      <c r="P8" s="1" t="s">
        <v>26</v>
      </c>
      <c r="Q8" s="1">
        <v>0</v>
      </c>
      <c r="S8" s="1" t="s">
        <v>16</v>
      </c>
      <c r="T8" s="1">
        <v>2100</v>
      </c>
    </row>
    <row r="9" spans="1:20" x14ac:dyDescent="0.2">
      <c r="S9" s="1" t="s">
        <v>17</v>
      </c>
      <c r="T9" s="1">
        <v>150</v>
      </c>
    </row>
    <row r="10" spans="1:20" x14ac:dyDescent="0.2">
      <c r="B10" s="1" t="s">
        <v>2</v>
      </c>
      <c r="C10" s="2">
        <v>15000</v>
      </c>
      <c r="P10" t="s">
        <v>25</v>
      </c>
      <c r="Q10">
        <f>Q5-T5</f>
        <v>600</v>
      </c>
      <c r="S10" s="1" t="s">
        <v>18</v>
      </c>
      <c r="T10" s="1">
        <v>300</v>
      </c>
    </row>
    <row r="11" spans="1:20" x14ac:dyDescent="0.2">
      <c r="B11" s="6" t="s">
        <v>6</v>
      </c>
      <c r="C11" s="5">
        <v>45658</v>
      </c>
      <c r="D11" s="5">
        <v>45689</v>
      </c>
      <c r="E11" s="5">
        <v>45717</v>
      </c>
      <c r="F11" s="5">
        <v>45748</v>
      </c>
      <c r="G11" s="5">
        <v>45778</v>
      </c>
      <c r="H11" s="5">
        <v>45809</v>
      </c>
      <c r="I11" s="5">
        <v>45839</v>
      </c>
      <c r="J11" s="5">
        <v>45870</v>
      </c>
      <c r="K11" s="5">
        <v>45901</v>
      </c>
      <c r="L11" s="5">
        <v>45931</v>
      </c>
      <c r="M11" s="5">
        <v>45962</v>
      </c>
      <c r="N11" s="5">
        <v>45992</v>
      </c>
      <c r="S11" s="1" t="s">
        <v>19</v>
      </c>
      <c r="T11" s="1">
        <v>1500</v>
      </c>
    </row>
    <row r="12" spans="1:20" x14ac:dyDescent="0.2">
      <c r="B12" s="6" t="s">
        <v>3</v>
      </c>
      <c r="C12" s="1">
        <f>($B$6*$B$7/100)/12</f>
        <v>6012.2225630000003</v>
      </c>
      <c r="D12" s="1">
        <f>(C14*$B$7/100)/12</f>
        <v>5989.9029156981169</v>
      </c>
      <c r="E12" s="1">
        <f t="shared" ref="E12:N12" si="0">(D14*$B$7/100)/12</f>
        <v>5967.5278412721009</v>
      </c>
      <c r="F12" s="1">
        <f t="shared" si="0"/>
        <v>5945.0972020779263</v>
      </c>
      <c r="G12" s="1">
        <f t="shared" si="0"/>
        <v>5922.6108601297537</v>
      </c>
      <c r="H12" s="1">
        <f t="shared" si="0"/>
        <v>5900.068677099076</v>
      </c>
      <c r="I12" s="1">
        <f t="shared" si="0"/>
        <v>5877.4705143138717</v>
      </c>
      <c r="J12" s="1">
        <f t="shared" si="0"/>
        <v>5854.8162327577511</v>
      </c>
      <c r="K12" s="1">
        <f t="shared" si="0"/>
        <v>5832.1056930690984</v>
      </c>
      <c r="L12" s="1">
        <f t="shared" si="0"/>
        <v>5809.3387555402214</v>
      </c>
      <c r="M12" s="1">
        <f t="shared" si="0"/>
        <v>5786.5152801164795</v>
      </c>
      <c r="N12" s="1">
        <f t="shared" si="0"/>
        <v>5763.6351263954348</v>
      </c>
      <c r="S12" s="1" t="s">
        <v>20</v>
      </c>
      <c r="T12" s="1">
        <v>15000</v>
      </c>
    </row>
    <row r="13" spans="1:20" ht="17" thickBot="1" x14ac:dyDescent="0.25">
      <c r="B13" s="7" t="s">
        <v>4</v>
      </c>
      <c r="C13" s="4">
        <f t="shared" ref="C13:N13" si="1">$C$10-C12</f>
        <v>8987.7774370000006</v>
      </c>
      <c r="D13" s="4">
        <f t="shared" si="1"/>
        <v>9010.097084301884</v>
      </c>
      <c r="E13" s="4">
        <f t="shared" si="1"/>
        <v>9032.4721587278982</v>
      </c>
      <c r="F13" s="4">
        <f t="shared" si="1"/>
        <v>9054.9027979220737</v>
      </c>
      <c r="G13" s="4">
        <f t="shared" si="1"/>
        <v>9077.3891398702472</v>
      </c>
      <c r="H13" s="4">
        <f t="shared" si="1"/>
        <v>9099.931322900924</v>
      </c>
      <c r="I13" s="4">
        <f t="shared" si="1"/>
        <v>9122.5294856861292</v>
      </c>
      <c r="J13" s="4">
        <f t="shared" si="1"/>
        <v>9145.183767242248</v>
      </c>
      <c r="K13" s="4">
        <f t="shared" si="1"/>
        <v>9167.8943069309025</v>
      </c>
      <c r="L13" s="4">
        <f t="shared" si="1"/>
        <v>9190.6612444597777</v>
      </c>
      <c r="M13" s="4">
        <f t="shared" si="1"/>
        <v>9213.4847198835196</v>
      </c>
      <c r="N13" s="4">
        <f t="shared" si="1"/>
        <v>9236.3648736045652</v>
      </c>
      <c r="S13" s="1" t="s">
        <v>24</v>
      </c>
      <c r="T13" s="1">
        <v>750</v>
      </c>
    </row>
    <row r="14" spans="1:20" ht="18" thickTop="1" thickBot="1" x14ac:dyDescent="0.25">
      <c r="B14" s="8" t="s">
        <v>5</v>
      </c>
      <c r="C14" s="3">
        <f>$B$6-C13</f>
        <v>2412041.4425630001</v>
      </c>
      <c r="D14" s="3">
        <f>C14-D13</f>
        <v>2403031.3454786981</v>
      </c>
      <c r="E14" s="3">
        <f t="shared" ref="E14:N14" si="2">D14-E13</f>
        <v>2393998.8733199704</v>
      </c>
      <c r="F14" s="3">
        <f t="shared" si="2"/>
        <v>2384943.9705220484</v>
      </c>
      <c r="G14" s="3">
        <f t="shared" si="2"/>
        <v>2375866.5813821782</v>
      </c>
      <c r="H14" s="3">
        <f t="shared" si="2"/>
        <v>2366766.6500592772</v>
      </c>
      <c r="I14" s="3">
        <f t="shared" si="2"/>
        <v>2357644.120573591</v>
      </c>
      <c r="J14" s="3">
        <f t="shared" si="2"/>
        <v>2348498.9368063486</v>
      </c>
      <c r="K14" s="3">
        <f t="shared" si="2"/>
        <v>2339331.0424994179</v>
      </c>
      <c r="L14" s="3">
        <f t="shared" si="2"/>
        <v>2330140.381254958</v>
      </c>
      <c r="M14" s="3">
        <f t="shared" si="2"/>
        <v>2320926.8965350743</v>
      </c>
      <c r="N14" s="3">
        <f t="shared" si="2"/>
        <v>2311690.53166147</v>
      </c>
      <c r="S14" s="1" t="s">
        <v>27</v>
      </c>
      <c r="T14" s="1">
        <v>1000</v>
      </c>
    </row>
    <row r="15" spans="1:20" ht="17" thickTop="1" x14ac:dyDescent="0.2">
      <c r="S15" s="1" t="s">
        <v>28</v>
      </c>
      <c r="T15" s="1">
        <v>4000</v>
      </c>
    </row>
    <row r="16" spans="1:20" x14ac:dyDescent="0.2">
      <c r="B16" s="1" t="s">
        <v>2</v>
      </c>
      <c r="C16" s="2">
        <v>15000</v>
      </c>
      <c r="S16" s="1" t="s">
        <v>29</v>
      </c>
      <c r="T16" s="1">
        <v>1000</v>
      </c>
    </row>
    <row r="17" spans="1:23" x14ac:dyDescent="0.2">
      <c r="B17" s="6" t="s">
        <v>7</v>
      </c>
      <c r="C17" s="5">
        <v>46023</v>
      </c>
      <c r="D17" s="5">
        <v>46054</v>
      </c>
      <c r="E17" s="5">
        <v>46082</v>
      </c>
      <c r="F17" s="5">
        <v>46113</v>
      </c>
      <c r="G17" s="5">
        <v>46143</v>
      </c>
      <c r="H17" s="5">
        <v>46174</v>
      </c>
      <c r="I17" s="5">
        <v>46204</v>
      </c>
      <c r="J17" s="5">
        <v>46235</v>
      </c>
      <c r="K17" s="5">
        <v>46266</v>
      </c>
      <c r="L17" s="5">
        <v>46296</v>
      </c>
      <c r="M17" s="5">
        <v>46327</v>
      </c>
      <c r="N17" s="5">
        <v>46357</v>
      </c>
      <c r="W17">
        <v>33318.980000000003</v>
      </c>
    </row>
    <row r="18" spans="1:23" x14ac:dyDescent="0.2">
      <c r="B18" s="6" t="s">
        <v>3</v>
      </c>
      <c r="C18" s="1">
        <f>(N14*$B$7/100)/12</f>
        <v>5740.6981536259837</v>
      </c>
      <c r="D18" s="1">
        <f>(C20*$B$7/100)/12</f>
        <v>5717.7042207074883</v>
      </c>
      <c r="E18" s="1">
        <f t="shared" ref="E18:N18" si="3">(D20*$B$7/100)/12</f>
        <v>5694.6531861889125</v>
      </c>
      <c r="F18" s="1">
        <f t="shared" si="3"/>
        <v>5671.5449082679488</v>
      </c>
      <c r="G18" s="1">
        <f t="shared" si="3"/>
        <v>5648.3792447901469</v>
      </c>
      <c r="H18" s="1">
        <f t="shared" si="3"/>
        <v>5625.1560532480426</v>
      </c>
      <c r="I18" s="1">
        <f t="shared" si="3"/>
        <v>5601.8751907802753</v>
      </c>
      <c r="J18" s="1">
        <f t="shared" si="3"/>
        <v>5578.5365141707125</v>
      </c>
      <c r="K18" s="1">
        <f t="shared" si="3"/>
        <v>5555.1398798475702</v>
      </c>
      <c r="L18" s="1">
        <f t="shared" si="3"/>
        <v>5531.6851438825242</v>
      </c>
      <c r="M18" s="1">
        <f t="shared" si="3"/>
        <v>5508.1721619898335</v>
      </c>
      <c r="N18" s="1">
        <f t="shared" si="3"/>
        <v>5484.6007895254406</v>
      </c>
    </row>
    <row r="19" spans="1:23" ht="17" thickBot="1" x14ac:dyDescent="0.25">
      <c r="B19" s="7" t="s">
        <v>4</v>
      </c>
      <c r="C19" s="4">
        <f>$C$16-C18</f>
        <v>9259.3018463740154</v>
      </c>
      <c r="D19" s="4">
        <f>$C$16-D18</f>
        <v>9282.2957792925117</v>
      </c>
      <c r="E19" s="4">
        <f t="shared" ref="E19:N19" si="4">$C$16-E18</f>
        <v>9305.3468138110875</v>
      </c>
      <c r="F19" s="4">
        <f t="shared" si="4"/>
        <v>9328.4550917320521</v>
      </c>
      <c r="G19" s="4">
        <f t="shared" si="4"/>
        <v>9351.6207552098531</v>
      </c>
      <c r="H19" s="4">
        <f t="shared" si="4"/>
        <v>9374.8439467519565</v>
      </c>
      <c r="I19" s="4">
        <f t="shared" si="4"/>
        <v>9398.1248092197238</v>
      </c>
      <c r="J19" s="4">
        <f t="shared" si="4"/>
        <v>9421.4634858292884</v>
      </c>
      <c r="K19" s="4">
        <f t="shared" si="4"/>
        <v>9444.8601201524289</v>
      </c>
      <c r="L19" s="4">
        <f t="shared" si="4"/>
        <v>9468.3148561174748</v>
      </c>
      <c r="M19" s="4">
        <f t="shared" si="4"/>
        <v>9491.8278380101656</v>
      </c>
      <c r="N19" s="4">
        <f t="shared" si="4"/>
        <v>9515.3992104745594</v>
      </c>
    </row>
    <row r="20" spans="1:23" ht="18" thickTop="1" thickBot="1" x14ac:dyDescent="0.25">
      <c r="B20" s="8" t="s">
        <v>5</v>
      </c>
      <c r="C20" s="3">
        <f>N14-C19</f>
        <v>2302431.2298150961</v>
      </c>
      <c r="D20" s="3">
        <f>C20-D19</f>
        <v>2293148.9340358037</v>
      </c>
      <c r="E20" s="3">
        <f t="shared" ref="E20:N20" si="5">D20-E19</f>
        <v>2283843.5872219927</v>
      </c>
      <c r="F20" s="3">
        <f t="shared" si="5"/>
        <v>2274515.1321302606</v>
      </c>
      <c r="G20" s="3">
        <f t="shared" si="5"/>
        <v>2265163.5113750505</v>
      </c>
      <c r="H20" s="3">
        <f t="shared" si="5"/>
        <v>2255788.6674282984</v>
      </c>
      <c r="I20" s="3">
        <f t="shared" si="5"/>
        <v>2246390.5426190789</v>
      </c>
      <c r="J20" s="3">
        <f t="shared" si="5"/>
        <v>2236969.0791332498</v>
      </c>
      <c r="K20" s="3">
        <f t="shared" si="5"/>
        <v>2227524.2190130972</v>
      </c>
      <c r="L20" s="3">
        <f t="shared" si="5"/>
        <v>2218055.9041569796</v>
      </c>
      <c r="M20" s="3">
        <f t="shared" si="5"/>
        <v>2208564.0763189695</v>
      </c>
      <c r="N20" s="3">
        <f t="shared" si="5"/>
        <v>2199048.677108495</v>
      </c>
    </row>
    <row r="21" spans="1:23" ht="17" thickTop="1" x14ac:dyDescent="0.2"/>
    <row r="22" spans="1:23" x14ac:dyDescent="0.2">
      <c r="B22" s="1" t="s">
        <v>2</v>
      </c>
      <c r="C22" s="2">
        <v>15000</v>
      </c>
      <c r="D22" s="1" t="s">
        <v>11</v>
      </c>
      <c r="E22" s="2">
        <v>0</v>
      </c>
      <c r="N22" t="s">
        <v>12</v>
      </c>
    </row>
    <row r="23" spans="1:23" x14ac:dyDescent="0.2">
      <c r="B23" s="6" t="s">
        <v>8</v>
      </c>
      <c r="C23" s="5">
        <v>46388</v>
      </c>
      <c r="D23" s="5">
        <v>46419</v>
      </c>
      <c r="E23" s="5">
        <v>46447</v>
      </c>
      <c r="F23" s="5">
        <v>46478</v>
      </c>
      <c r="G23" s="5">
        <v>46508</v>
      </c>
      <c r="H23" s="5">
        <v>46539</v>
      </c>
      <c r="I23" s="5">
        <v>46569</v>
      </c>
      <c r="J23" s="5">
        <v>46600</v>
      </c>
      <c r="K23" s="5">
        <v>46631</v>
      </c>
      <c r="L23" s="5">
        <v>46661</v>
      </c>
      <c r="M23" s="5">
        <v>46692</v>
      </c>
      <c r="N23" s="5">
        <v>46722</v>
      </c>
    </row>
    <row r="24" spans="1:23" x14ac:dyDescent="0.2">
      <c r="B24" s="6" t="s">
        <v>3</v>
      </c>
      <c r="C24" s="1">
        <f>(N20*$B$7/100)/12</f>
        <v>5460.970881486096</v>
      </c>
      <c r="D24" s="1">
        <f>(C26*$B$7/100)/12</f>
        <v>5437.2822925084538</v>
      </c>
      <c r="E24" s="1">
        <f t="shared" ref="E24:N24" si="6">(D26*$B$7/100)/12</f>
        <v>5413.5348768681833</v>
      </c>
      <c r="F24" s="1">
        <f t="shared" si="6"/>
        <v>5389.7284884790724</v>
      </c>
      <c r="G24" s="1">
        <f t="shared" si="6"/>
        <v>5365.8629808921287</v>
      </c>
      <c r="H24" s="1">
        <f t="shared" si="6"/>
        <v>5341.9382072946783</v>
      </c>
      <c r="I24" s="1">
        <f t="shared" si="6"/>
        <v>5317.95402050946</v>
      </c>
      <c r="J24" s="1">
        <f t="shared" si="6"/>
        <v>5293.9102729937249</v>
      </c>
      <c r="K24" s="1">
        <f t="shared" si="6"/>
        <v>5269.8068168383252</v>
      </c>
      <c r="L24" s="1">
        <f t="shared" si="6"/>
        <v>5245.643503766807</v>
      </c>
      <c r="M24" s="1">
        <f t="shared" si="6"/>
        <v>5221.420185134496</v>
      </c>
      <c r="N24" s="1">
        <f t="shared" si="6"/>
        <v>5197.1367119275792</v>
      </c>
    </row>
    <row r="25" spans="1:23" ht="17" thickBot="1" x14ac:dyDescent="0.25">
      <c r="B25" s="7" t="s">
        <v>4</v>
      </c>
      <c r="C25" s="4">
        <f>$C$22-C24</f>
        <v>9539.0291185139031</v>
      </c>
      <c r="D25" s="4">
        <f>$C$22-D24</f>
        <v>9562.7177074915453</v>
      </c>
      <c r="E25" s="4">
        <f t="shared" ref="E25:M25" si="7">$C$22-E24</f>
        <v>9586.4651231318167</v>
      </c>
      <c r="F25" s="4">
        <f t="shared" si="7"/>
        <v>9610.2715115209285</v>
      </c>
      <c r="G25" s="4">
        <f t="shared" si="7"/>
        <v>9634.1370191078713</v>
      </c>
      <c r="H25" s="4">
        <f t="shared" si="7"/>
        <v>9658.0617927053208</v>
      </c>
      <c r="I25" s="4">
        <f t="shared" si="7"/>
        <v>9682.04597949054</v>
      </c>
      <c r="J25" s="4">
        <f t="shared" si="7"/>
        <v>9706.0897270062742</v>
      </c>
      <c r="K25" s="4">
        <f t="shared" si="7"/>
        <v>9730.1931831616748</v>
      </c>
      <c r="L25" s="4">
        <f t="shared" si="7"/>
        <v>9754.356496233193</v>
      </c>
      <c r="M25" s="4">
        <f t="shared" si="7"/>
        <v>9778.5798148655049</v>
      </c>
      <c r="N25" s="4">
        <f>$E$22-N24</f>
        <v>-5197.1367119275792</v>
      </c>
    </row>
    <row r="26" spans="1:23" ht="18" thickTop="1" thickBot="1" x14ac:dyDescent="0.25">
      <c r="B26" s="8" t="s">
        <v>5</v>
      </c>
      <c r="C26" s="3">
        <f>N20-C25</f>
        <v>2189509.6479899813</v>
      </c>
      <c r="D26" s="3">
        <f>C26-D25</f>
        <v>2179946.9302824899</v>
      </c>
      <c r="E26" s="3">
        <f t="shared" ref="E26:N26" si="8">D26-E25</f>
        <v>2170360.465159358</v>
      </c>
      <c r="F26" s="3">
        <f t="shared" si="8"/>
        <v>2160750.1936478373</v>
      </c>
      <c r="G26" s="3">
        <f t="shared" si="8"/>
        <v>2151116.0566287292</v>
      </c>
      <c r="H26" s="3">
        <f t="shared" si="8"/>
        <v>2141457.994836024</v>
      </c>
      <c r="I26" s="3">
        <f t="shared" si="8"/>
        <v>2131775.9488565335</v>
      </c>
      <c r="J26" s="3">
        <f t="shared" si="8"/>
        <v>2122069.8591295271</v>
      </c>
      <c r="K26" s="3">
        <f t="shared" si="8"/>
        <v>2112339.6659463653</v>
      </c>
      <c r="L26" s="3">
        <f t="shared" si="8"/>
        <v>2102585.3094501323</v>
      </c>
      <c r="M26" s="3">
        <f t="shared" si="8"/>
        <v>2092806.7296352668</v>
      </c>
      <c r="N26" s="3">
        <f t="shared" si="8"/>
        <v>2098003.8663471942</v>
      </c>
    </row>
    <row r="27" spans="1:23" ht="17" thickTop="1" x14ac:dyDescent="0.2"/>
    <row r="29" spans="1:23" x14ac:dyDescent="0.2">
      <c r="A29" s="1" t="s">
        <v>0</v>
      </c>
      <c r="B29" s="1">
        <f>N26</f>
        <v>2098003.8663471942</v>
      </c>
      <c r="D29" s="1" t="s">
        <v>9</v>
      </c>
      <c r="E29" s="2">
        <f>B29-N49</f>
        <v>549634.38826087327</v>
      </c>
    </row>
    <row r="30" spans="1:23" x14ac:dyDescent="0.2">
      <c r="A30" s="1" t="s">
        <v>1</v>
      </c>
      <c r="B30" s="1">
        <v>3</v>
      </c>
      <c r="D30" s="1" t="s">
        <v>10</v>
      </c>
      <c r="E30" s="1">
        <f>SUM(C35:N35,C41:N41,C47:N47)</f>
        <v>165365.61173912621</v>
      </c>
    </row>
    <row r="33" spans="2:14" x14ac:dyDescent="0.2">
      <c r="B33" s="1" t="s">
        <v>2</v>
      </c>
      <c r="C33" s="2">
        <v>20000</v>
      </c>
    </row>
    <row r="34" spans="2:14" x14ac:dyDescent="0.2">
      <c r="B34" s="6" t="s">
        <v>6</v>
      </c>
      <c r="C34" s="5">
        <v>45658</v>
      </c>
      <c r="D34" s="5">
        <v>45689</v>
      </c>
      <c r="E34" s="5">
        <v>45717</v>
      </c>
      <c r="F34" s="5">
        <v>45748</v>
      </c>
      <c r="G34" s="5">
        <v>45778</v>
      </c>
      <c r="H34" s="5">
        <v>45809</v>
      </c>
      <c r="I34" s="5">
        <v>45839</v>
      </c>
      <c r="J34" s="5">
        <v>45870</v>
      </c>
      <c r="K34" s="5">
        <v>45901</v>
      </c>
      <c r="L34" s="5">
        <v>45931</v>
      </c>
      <c r="M34" s="5">
        <v>45962</v>
      </c>
      <c r="N34" s="5">
        <v>45992</v>
      </c>
    </row>
    <row r="35" spans="2:14" x14ac:dyDescent="0.2">
      <c r="B35" s="6" t="s">
        <v>3</v>
      </c>
      <c r="C35" s="1">
        <f>($B$29*$B$30/100)/12</f>
        <v>5245.0096658679859</v>
      </c>
      <c r="D35" s="1">
        <f>(C37*$B$30/100)/12</f>
        <v>5220.6221900326555</v>
      </c>
      <c r="E35" s="1">
        <f t="shared" ref="E35:N35" si="9">(D37*$B$30/100)/12</f>
        <v>5183.6737455077373</v>
      </c>
      <c r="F35" s="1">
        <f t="shared" si="9"/>
        <v>5146.6329298715073</v>
      </c>
      <c r="G35" s="1">
        <f t="shared" si="9"/>
        <v>5109.4995121961856</v>
      </c>
      <c r="H35" s="1">
        <f t="shared" si="9"/>
        <v>5072.2732609766763</v>
      </c>
      <c r="I35" s="1">
        <f t="shared" si="9"/>
        <v>5034.9539441291181</v>
      </c>
      <c r="J35" s="1">
        <f t="shared" si="9"/>
        <v>4997.5413289894414</v>
      </c>
      <c r="K35" s="1">
        <f t="shared" si="9"/>
        <v>4960.0351823119145</v>
      </c>
      <c r="L35" s="1">
        <f t="shared" si="9"/>
        <v>4922.4352702676942</v>
      </c>
      <c r="M35" s="1">
        <f t="shared" si="9"/>
        <v>4884.7413584433634</v>
      </c>
      <c r="N35" s="1">
        <f t="shared" si="9"/>
        <v>4846.9532118394718</v>
      </c>
    </row>
    <row r="36" spans="2:14" ht="17" thickBot="1" x14ac:dyDescent="0.25">
      <c r="B36" s="7" t="s">
        <v>4</v>
      </c>
      <c r="C36" s="4">
        <f>$C$10-C35</f>
        <v>9754.9903341320132</v>
      </c>
      <c r="D36" s="4">
        <f>$C$33-D35</f>
        <v>14779.377809967344</v>
      </c>
      <c r="E36" s="4">
        <f t="shared" ref="E36:N36" si="10">$C$33-E35</f>
        <v>14816.326254492262</v>
      </c>
      <c r="F36" s="4">
        <f t="shared" si="10"/>
        <v>14853.367070128494</v>
      </c>
      <c r="G36" s="4">
        <f t="shared" si="10"/>
        <v>14890.500487803814</v>
      </c>
      <c r="H36" s="4">
        <f t="shared" si="10"/>
        <v>14927.726739023325</v>
      </c>
      <c r="I36" s="4">
        <f t="shared" si="10"/>
        <v>14965.046055870882</v>
      </c>
      <c r="J36" s="4">
        <f t="shared" si="10"/>
        <v>15002.458671010558</v>
      </c>
      <c r="K36" s="4">
        <f t="shared" si="10"/>
        <v>15039.964817688086</v>
      </c>
      <c r="L36" s="4">
        <f t="shared" si="10"/>
        <v>15077.564729732305</v>
      </c>
      <c r="M36" s="4">
        <f t="shared" si="10"/>
        <v>15115.258641556637</v>
      </c>
      <c r="N36" s="4">
        <f t="shared" si="10"/>
        <v>15153.046788160529</v>
      </c>
    </row>
    <row r="37" spans="2:14" ht="18" thickTop="1" thickBot="1" x14ac:dyDescent="0.25">
      <c r="B37" s="8" t="s">
        <v>5</v>
      </c>
      <c r="C37" s="3">
        <f>$B$29-C36</f>
        <v>2088248.8760130622</v>
      </c>
      <c r="D37" s="3">
        <f>C37-D36</f>
        <v>2073469.4982030948</v>
      </c>
      <c r="E37" s="3">
        <f t="shared" ref="E37:N37" si="11">D37-E36</f>
        <v>2058653.1719486027</v>
      </c>
      <c r="F37" s="3">
        <f t="shared" si="11"/>
        <v>2043799.8048784742</v>
      </c>
      <c r="G37" s="3">
        <f t="shared" si="11"/>
        <v>2028909.3043906705</v>
      </c>
      <c r="H37" s="3">
        <f t="shared" si="11"/>
        <v>2013981.5776516472</v>
      </c>
      <c r="I37" s="3">
        <f t="shared" si="11"/>
        <v>1999016.5315957763</v>
      </c>
      <c r="J37" s="3">
        <f t="shared" si="11"/>
        <v>1984014.0729247658</v>
      </c>
      <c r="K37" s="3">
        <f t="shared" si="11"/>
        <v>1968974.1081070777</v>
      </c>
      <c r="L37" s="3">
        <f t="shared" si="11"/>
        <v>1953896.5433773454</v>
      </c>
      <c r="M37" s="3">
        <f t="shared" si="11"/>
        <v>1938781.2847357888</v>
      </c>
      <c r="N37" s="3">
        <f t="shared" si="11"/>
        <v>1923628.2379476284</v>
      </c>
    </row>
    <row r="38" spans="2:14" ht="17" thickTop="1" x14ac:dyDescent="0.2"/>
    <row r="39" spans="2:14" x14ac:dyDescent="0.2">
      <c r="B39" s="1" t="s">
        <v>2</v>
      </c>
      <c r="C39" s="2">
        <v>20000</v>
      </c>
    </row>
    <row r="40" spans="2:14" x14ac:dyDescent="0.2">
      <c r="B40" s="6" t="s">
        <v>7</v>
      </c>
      <c r="C40" s="5">
        <v>46023</v>
      </c>
      <c r="D40" s="5">
        <v>46054</v>
      </c>
      <c r="E40" s="5">
        <v>46082</v>
      </c>
      <c r="F40" s="5">
        <v>46113</v>
      </c>
      <c r="G40" s="5">
        <v>46143</v>
      </c>
      <c r="H40" s="5">
        <v>46174</v>
      </c>
      <c r="I40" s="5">
        <v>46204</v>
      </c>
      <c r="J40" s="5">
        <v>46235</v>
      </c>
      <c r="K40" s="5">
        <v>46266</v>
      </c>
      <c r="L40" s="5">
        <v>46296</v>
      </c>
      <c r="M40" s="5">
        <v>46327</v>
      </c>
      <c r="N40" s="5">
        <v>46357</v>
      </c>
    </row>
    <row r="41" spans="2:14" x14ac:dyDescent="0.2">
      <c r="B41" s="6" t="s">
        <v>3</v>
      </c>
      <c r="C41" s="1">
        <f>(N37*$B$30/100)/12</f>
        <v>4809.0705948690711</v>
      </c>
      <c r="D41" s="1">
        <f>(C43*$B$30/100)/12</f>
        <v>4771.0932713562433</v>
      </c>
      <c r="E41" s="1">
        <f t="shared" ref="E41:N41" si="12">(D43*$B$30/100)/12</f>
        <v>4733.0210045346348</v>
      </c>
      <c r="F41" s="1">
        <f t="shared" si="12"/>
        <v>4694.8535570459708</v>
      </c>
      <c r="G41" s="1">
        <f t="shared" si="12"/>
        <v>4656.5906909385858</v>
      </c>
      <c r="H41" s="1">
        <f t="shared" si="12"/>
        <v>4618.2321676659321</v>
      </c>
      <c r="I41" s="1">
        <f t="shared" si="12"/>
        <v>4579.7777480850964</v>
      </c>
      <c r="J41" s="1">
        <f t="shared" si="12"/>
        <v>4541.2271924553097</v>
      </c>
      <c r="K41" s="1">
        <f t="shared" si="12"/>
        <v>4502.580260436448</v>
      </c>
      <c r="L41" s="1">
        <f t="shared" si="12"/>
        <v>4463.8367110875388</v>
      </c>
      <c r="M41" s="1">
        <f t="shared" si="12"/>
        <v>4424.9963028652573</v>
      </c>
      <c r="N41" s="1">
        <f t="shared" si="12"/>
        <v>4386.058793622421</v>
      </c>
    </row>
    <row r="42" spans="2:14" ht="17" thickBot="1" x14ac:dyDescent="0.25">
      <c r="B42" s="7" t="s">
        <v>4</v>
      </c>
      <c r="C42" s="4">
        <f>$C$39-C41</f>
        <v>15190.92940513093</v>
      </c>
      <c r="D42" s="4">
        <f>$C$39-D41</f>
        <v>15228.906728643757</v>
      </c>
      <c r="E42" s="4">
        <f t="shared" ref="E42:N42" si="13">$C$39-E41</f>
        <v>15266.978995465364</v>
      </c>
      <c r="F42" s="4">
        <f t="shared" si="13"/>
        <v>15305.146442954028</v>
      </c>
      <c r="G42" s="4">
        <f t="shared" si="13"/>
        <v>15343.409309061415</v>
      </c>
      <c r="H42" s="4">
        <f t="shared" si="13"/>
        <v>15381.767832334068</v>
      </c>
      <c r="I42" s="4">
        <f t="shared" si="13"/>
        <v>15420.222251914904</v>
      </c>
      <c r="J42" s="4">
        <f t="shared" si="13"/>
        <v>15458.77280754469</v>
      </c>
      <c r="K42" s="4">
        <f t="shared" si="13"/>
        <v>15497.419739563553</v>
      </c>
      <c r="L42" s="4">
        <f t="shared" si="13"/>
        <v>15536.163288912461</v>
      </c>
      <c r="M42" s="4">
        <f t="shared" si="13"/>
        <v>15575.003697134744</v>
      </c>
      <c r="N42" s="4">
        <f t="shared" si="13"/>
        <v>15613.941206377578</v>
      </c>
    </row>
    <row r="43" spans="2:14" ht="18" thickTop="1" thickBot="1" x14ac:dyDescent="0.25">
      <c r="B43" s="8" t="s">
        <v>5</v>
      </c>
      <c r="C43" s="3">
        <f>N37-C42</f>
        <v>1908437.3085424975</v>
      </c>
      <c r="D43" s="3">
        <f>C43-D42</f>
        <v>1893208.4018138538</v>
      </c>
      <c r="E43" s="3">
        <f t="shared" ref="E43:N43" si="14">D43-E42</f>
        <v>1877941.4228183883</v>
      </c>
      <c r="F43" s="3">
        <f t="shared" si="14"/>
        <v>1862636.2763754344</v>
      </c>
      <c r="G43" s="3">
        <f t="shared" si="14"/>
        <v>1847292.8670663729</v>
      </c>
      <c r="H43" s="3">
        <f t="shared" si="14"/>
        <v>1831911.0992340387</v>
      </c>
      <c r="I43" s="3">
        <f t="shared" si="14"/>
        <v>1816490.8769821238</v>
      </c>
      <c r="J43" s="3">
        <f t="shared" si="14"/>
        <v>1801032.104174579</v>
      </c>
      <c r="K43" s="3">
        <f t="shared" si="14"/>
        <v>1785534.6844350155</v>
      </c>
      <c r="L43" s="3">
        <f t="shared" si="14"/>
        <v>1769998.521146103</v>
      </c>
      <c r="M43" s="3">
        <f t="shared" si="14"/>
        <v>1754423.5174489683</v>
      </c>
      <c r="N43" s="3">
        <f t="shared" si="14"/>
        <v>1738809.5762425908</v>
      </c>
    </row>
    <row r="44" spans="2:14" ht="17" thickTop="1" x14ac:dyDescent="0.2"/>
    <row r="45" spans="2:14" x14ac:dyDescent="0.2">
      <c r="B45" s="1" t="s">
        <v>2</v>
      </c>
      <c r="C45" s="2">
        <v>20000</v>
      </c>
      <c r="D45" s="1" t="s">
        <v>11</v>
      </c>
      <c r="E45" s="2">
        <v>500000</v>
      </c>
    </row>
    <row r="46" spans="2:14" x14ac:dyDescent="0.2">
      <c r="B46" s="6" t="s">
        <v>8</v>
      </c>
      <c r="C46" s="5">
        <v>46388</v>
      </c>
      <c r="D46" s="5">
        <v>46419</v>
      </c>
      <c r="E46" s="5">
        <v>46447</v>
      </c>
      <c r="F46" s="5">
        <v>46478</v>
      </c>
      <c r="G46" s="5">
        <v>46508</v>
      </c>
      <c r="H46" s="5">
        <v>46539</v>
      </c>
      <c r="I46" s="5">
        <v>46569</v>
      </c>
      <c r="J46" s="5">
        <v>46600</v>
      </c>
      <c r="K46" s="5">
        <v>46631</v>
      </c>
      <c r="L46" s="5">
        <v>46661</v>
      </c>
      <c r="M46" s="5">
        <v>46692</v>
      </c>
      <c r="N46" s="5">
        <v>46722</v>
      </c>
    </row>
    <row r="47" spans="2:14" x14ac:dyDescent="0.2">
      <c r="B47" s="6" t="s">
        <v>3</v>
      </c>
      <c r="C47" s="1">
        <f>(N43*$B$30/100)/12</f>
        <v>4347.0239406064775</v>
      </c>
      <c r="D47" s="1">
        <f>(C49*$B$30/100)/12</f>
        <v>4307.8915004579931</v>
      </c>
      <c r="E47" s="1">
        <f t="shared" ref="E47:M47" si="15">(D49*$B$30/100)/12</f>
        <v>4268.6612292091377</v>
      </c>
      <c r="F47" s="1">
        <f t="shared" si="15"/>
        <v>4229.3328822821604</v>
      </c>
      <c r="G47" s="1">
        <f t="shared" si="15"/>
        <v>4189.9062144878662</v>
      </c>
      <c r="H47" s="1">
        <f t="shared" si="15"/>
        <v>4150.3809800240861</v>
      </c>
      <c r="I47" s="1">
        <f t="shared" si="15"/>
        <v>4110.7569324741462</v>
      </c>
      <c r="J47" s="1">
        <f t="shared" si="15"/>
        <v>4071.0338248053317</v>
      </c>
      <c r="K47" s="1">
        <f t="shared" si="15"/>
        <v>4031.2114093673445</v>
      </c>
      <c r="L47" s="1">
        <f t="shared" si="15"/>
        <v>3991.2894378907636</v>
      </c>
      <c r="M47" s="1">
        <f t="shared" si="15"/>
        <v>3951.2676614854904</v>
      </c>
      <c r="N47" s="1">
        <f t="shared" ref="N47" si="16">(M49*$B$30/100)/12</f>
        <v>3911.1458306392037</v>
      </c>
    </row>
    <row r="48" spans="2:14" ht="17" thickBot="1" x14ac:dyDescent="0.25">
      <c r="B48" s="7" t="s">
        <v>4</v>
      </c>
      <c r="C48" s="4">
        <f>$C$45-C47</f>
        <v>15652.976059393523</v>
      </c>
      <c r="D48" s="4">
        <f>$C$45-D47</f>
        <v>15692.108499542006</v>
      </c>
      <c r="E48" s="4">
        <f t="shared" ref="E48:N48" si="17">$C$45-E47</f>
        <v>15731.338770790862</v>
      </c>
      <c r="F48" s="4">
        <f t="shared" si="17"/>
        <v>15770.66711771784</v>
      </c>
      <c r="G48" s="4">
        <f t="shared" si="17"/>
        <v>15810.093785512134</v>
      </c>
      <c r="H48" s="4">
        <f t="shared" si="17"/>
        <v>15849.619019975915</v>
      </c>
      <c r="I48" s="4">
        <f t="shared" si="17"/>
        <v>15889.243067525855</v>
      </c>
      <c r="J48" s="4">
        <f t="shared" si="17"/>
        <v>15928.966175194668</v>
      </c>
      <c r="K48" s="4">
        <f t="shared" si="17"/>
        <v>15968.788590632656</v>
      </c>
      <c r="L48" s="4">
        <f t="shared" si="17"/>
        <v>16008.710562109236</v>
      </c>
      <c r="M48" s="4">
        <f t="shared" si="17"/>
        <v>16048.73233851451</v>
      </c>
      <c r="N48" s="4">
        <f t="shared" si="17"/>
        <v>16088.854169360797</v>
      </c>
    </row>
    <row r="49" spans="2:14" ht="18" thickTop="1" thickBot="1" x14ac:dyDescent="0.25">
      <c r="B49" s="8" t="s">
        <v>5</v>
      </c>
      <c r="C49" s="3">
        <f>N43-C48</f>
        <v>1723156.6001831973</v>
      </c>
      <c r="D49" s="3">
        <f>C49-D48</f>
        <v>1707464.4916836552</v>
      </c>
      <c r="E49" s="3">
        <f t="shared" ref="E49:N49" si="18">D49-E48</f>
        <v>1691733.1529128642</v>
      </c>
      <c r="F49" s="3">
        <f t="shared" si="18"/>
        <v>1675962.4857951463</v>
      </c>
      <c r="G49" s="3">
        <f t="shared" si="18"/>
        <v>1660152.3920096343</v>
      </c>
      <c r="H49" s="3">
        <f t="shared" si="18"/>
        <v>1644302.7729896584</v>
      </c>
      <c r="I49" s="3">
        <f t="shared" si="18"/>
        <v>1628413.5299221326</v>
      </c>
      <c r="J49" s="3">
        <f t="shared" si="18"/>
        <v>1612484.563746938</v>
      </c>
      <c r="K49" s="3">
        <f t="shared" si="18"/>
        <v>1596515.7751563054</v>
      </c>
      <c r="L49" s="3">
        <f t="shared" si="18"/>
        <v>1580507.0645941962</v>
      </c>
      <c r="M49" s="3">
        <f t="shared" si="18"/>
        <v>1564458.3322556817</v>
      </c>
      <c r="N49" s="3">
        <f t="shared" si="18"/>
        <v>1548369.4780863209</v>
      </c>
    </row>
    <row r="50" spans="2:14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 IT</dc:creator>
  <cp:lastModifiedBy>KOP IT</cp:lastModifiedBy>
  <dcterms:created xsi:type="dcterms:W3CDTF">2025-05-08T09:32:37Z</dcterms:created>
  <dcterms:modified xsi:type="dcterms:W3CDTF">2025-06-05T08:49:30Z</dcterms:modified>
</cp:coreProperties>
</file>